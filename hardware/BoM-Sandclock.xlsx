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las\Downloads\Sandclock_Hourglass\"/>
    </mc:Choice>
  </mc:AlternateContent>
  <xr:revisionPtr revIDLastSave="0" documentId="13_ncr:1_{41DDD41D-F5FB-4288-912A-E4DC1EFF6DC7}" xr6:coauthVersionLast="47" xr6:coauthVersionMax="47" xr10:uidLastSave="{00000000-0000-0000-0000-000000000000}"/>
  <bookViews>
    <workbookView xWindow="-108" yWindow="-108" windowWidth="23256" windowHeight="12456" xr2:uid="{BFA8D621-05A1-4F73-8DB0-3B7C1DDDB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1" l="1"/>
  <c r="I17" i="1"/>
  <c r="I16" i="1"/>
  <c r="I15" i="1"/>
  <c r="I14" i="1"/>
  <c r="I13" i="1"/>
  <c r="I12" i="1"/>
  <c r="I11" i="1"/>
  <c r="I10" i="1"/>
  <c r="I9" i="1"/>
  <c r="I22" i="1" l="1"/>
</calcChain>
</file>

<file path=xl/sharedStrings.xml><?xml version="1.0" encoding="utf-8"?>
<sst xmlns="http://schemas.openxmlformats.org/spreadsheetml/2006/main" count="45" uniqueCount="42">
  <si>
    <t xml:space="preserve"> Name </t>
  </si>
  <si>
    <t xml:space="preserve"> Date</t>
  </si>
  <si>
    <t xml:space="preserve">Sl.no </t>
  </si>
  <si>
    <t>Category</t>
  </si>
  <si>
    <t>Components</t>
  </si>
  <si>
    <t>Qty</t>
  </si>
  <si>
    <t>Unit Cost</t>
  </si>
  <si>
    <t>Cost</t>
  </si>
  <si>
    <t>PCB</t>
  </si>
  <si>
    <t>Accessories</t>
  </si>
  <si>
    <t>3D model</t>
  </si>
  <si>
    <t>Total Cost</t>
  </si>
  <si>
    <t>Arduino Nano</t>
  </si>
  <si>
    <t>TP5100 with dc jack</t>
  </si>
  <si>
    <t xml:space="preserve">Rocker Switch </t>
  </si>
  <si>
    <t>7805 voltage Regulator</t>
  </si>
  <si>
    <t>Buzzer</t>
  </si>
  <si>
    <t>Tilt Sensor</t>
  </si>
  <si>
    <t>Led Matrix 8x8</t>
  </si>
  <si>
    <t>470uF capacitor</t>
  </si>
  <si>
    <t>Lithium ion battery (7.4V)</t>
  </si>
  <si>
    <t>Perf Board</t>
  </si>
  <si>
    <t>Microcontroller</t>
  </si>
  <si>
    <t>Battery Charging Module</t>
  </si>
  <si>
    <t>Power Source</t>
  </si>
  <si>
    <t>Control Switch</t>
  </si>
  <si>
    <t>Voltage Regulation</t>
  </si>
  <si>
    <t>Output Device (Audio)</t>
  </si>
  <si>
    <t>Input Sensor</t>
  </si>
  <si>
    <t>Output Display</t>
  </si>
  <si>
    <t>Passive Electronic
 Component</t>
  </si>
  <si>
    <t>Miscellaneous items</t>
  </si>
  <si>
    <t>Purchase Link</t>
  </si>
  <si>
    <t>TP5100</t>
  </si>
  <si>
    <t>7.4V Li-ion Lithium Battery</t>
  </si>
  <si>
    <t>Rocker Switch</t>
  </si>
  <si>
    <t>7805 Voltage Regulator</t>
  </si>
  <si>
    <t>Buzzer 5V</t>
  </si>
  <si>
    <t>Matrix-8x8-LED</t>
  </si>
  <si>
    <t>470-uf-electrolytic-capacitor</t>
  </si>
  <si>
    <t>Digital Hourglass LED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</si>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</sst>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]#,##0.00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</font>
    <font>
      <sz val="12"/>
      <color theme="1"/>
      <name val="Roboto"/>
    </font>
    <font>
      <sz val="12"/>
      <color rgb="FF242424"/>
      <name val="Roboto"/>
    </font>
    <font>
      <sz val="12"/>
      <color rgb="FF000000"/>
      <name val="Roboto"/>
    </font>
    <font>
      <b/>
      <sz val="12"/>
      <color rgb="FFFFFFFF"/>
      <name val="Roboto"/>
    </font>
    <font>
      <sz val="12"/>
      <color theme="1"/>
      <name val="Times New Roman"/>
    </font>
    <font>
      <sz val="12"/>
      <color rgb="FF000000"/>
      <name val="Times New Roman"/>
    </font>
    <font>
      <sz val="10"/>
      <name val="Arial"/>
    </font>
    <font>
      <sz val="12"/>
      <color theme="1"/>
      <name val="Times New Roman"/>
      <family val="1"/>
    </font>
    <font>
      <sz val="10"/>
      <name val="Arial"/>
      <family val="2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3A5B9C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4" xfId="0" applyFont="1" applyBorder="1"/>
    <xf numFmtId="164" fontId="2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wrapText="1"/>
    </xf>
    <xf numFmtId="0" fontId="1" fillId="0" borderId="6" xfId="1" applyBorder="1" applyAlignment="1">
      <alignment horizontal="center" wrapText="1"/>
    </xf>
    <xf numFmtId="0" fontId="1" fillId="0" borderId="6" xfId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1" fillId="0" borderId="6" xfId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0" fillId="3" borderId="12" xfId="0" applyFont="1" applyFill="1" applyBorder="1" applyAlignment="1">
      <alignment horizontal="center"/>
    </xf>
    <xf numFmtId="0" fontId="9" fillId="3" borderId="2" xfId="0" applyFont="1" applyFill="1" applyBorder="1"/>
    <xf numFmtId="164" fontId="2" fillId="3" borderId="1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/>
    </xf>
    <xf numFmtId="0" fontId="9" fillId="3" borderId="7" xfId="0" applyFont="1" applyFill="1" applyBorder="1"/>
    <xf numFmtId="0" fontId="9" fillId="3" borderId="12" xfId="0" applyFont="1" applyFill="1" applyBorder="1"/>
    <xf numFmtId="0" fontId="3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4" fillId="0" borderId="9" xfId="0" applyFont="1" applyBorder="1" applyAlignment="1">
      <alignment horizontal="left" vertical="center"/>
    </xf>
    <xf numFmtId="14" fontId="5" fillId="0" borderId="9" xfId="0" applyNumberFormat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in/xcluma-Sensor-Module-Switch-Robot/dp/B072TGTSLG" TargetMode="External"/><Relationship Id="rId3" Type="http://schemas.openxmlformats.org/officeDocument/2006/relationships/hyperlink" Target="https://robu.in/product/arduino-nano-board-r3-with-ch340-chip-wo-usb-cable-solderedarduino-nano-r3-wo-usb-cable-soldered/?gad_source=1&amp;gad_campaignid=21296336107&amp;gbraid=0AAAAADvLFWfBTb793h31Wf6fsuRkRTp3Q&amp;gclid=Cj0KCQjwgr_NBhDFARIsAHiUWr6sTOSf_bmu77NaUgH0v5dpKMUyyg5eXV4BVlaZ9LMPcuaYrxjrbaQaApjkEALw_wcB" TargetMode="External"/><Relationship Id="rId7" Type="http://schemas.openxmlformats.org/officeDocument/2006/relationships/hyperlink" Target="https://robu.in/product/5v-active-electromagnetic-buzzer-pack-of-5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robu.in/product/tp5100-4-2v-8-4v-single-double-lithium-battery-charge-management-lion-battery-compatible-2a-charging-board/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s://robu.in/product/l7805cv-stmicroelectronics-linear-voltage-regulator-7805-fixed-positive-10v-to-35v-in-5v-and-1-5a-out-to-220-3/" TargetMode="External"/><Relationship Id="rId11" Type="http://schemas.openxmlformats.org/officeDocument/2006/relationships/hyperlink" Target="https://robu.in/product/5-x-7-cm-universal-pcb-prototype-board-single-sided-2-54mm-hole-pitch/" TargetMode="External"/><Relationship Id="rId5" Type="http://schemas.openxmlformats.org/officeDocument/2006/relationships/hyperlink" Target="https://robu.in/product/kcd5-101-mini-rocker-switch-2pinon-off/" TargetMode="External"/><Relationship Id="rId10" Type="http://schemas.openxmlformats.org/officeDocument/2006/relationships/hyperlink" Target="https://robu.in/product/470-uf-50v-through-hole-electrolytic-capacitor-pack-of-10/" TargetMode="External"/><Relationship Id="rId4" Type="http://schemas.openxmlformats.org/officeDocument/2006/relationships/hyperlink" Target="https://electronicspices.com/product/1200mah-7-4v-li-ion-lithium-rechargeable-battery-with-bms-2510-jst-connector?srsltid=AfmBOop-FC581oUC2we325F7o3ltnhEn01FWyq5qpSNVu7e6IhChmUx7CVY" TargetMode="External"/><Relationship Id="rId9" Type="http://schemas.openxmlformats.org/officeDocument/2006/relationships/hyperlink" Target="https://sumeetinstruments.com/Matrix-8x8-LED-Module-with-SPI-Interface?srsltid=AfmBOookLdv4pKMYYTYwyiEEILqoQOVs1uBlpbGensDyF0SpbO-tedbjx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8A2D-807F-45B8-A43B-EF683B2075B1}">
  <dimension ref="C2:N22"/>
  <sheetViews>
    <sheetView tabSelected="1" workbookViewId="0">
      <selection activeCell="N14" sqref="N14"/>
    </sheetView>
  </sheetViews>
  <sheetFormatPr defaultRowHeight="14.4" x14ac:dyDescent="0.3"/>
  <cols>
    <col min="5" max="5" width="28.33203125" bestFit="1" customWidth="1"/>
    <col min="6" max="6" width="21.88671875" style="19" bestFit="1" customWidth="1"/>
    <col min="8" max="8" width="12.6640625" customWidth="1"/>
    <col min="9" max="9" width="13.6640625" bestFit="1" customWidth="1"/>
    <col min="10" max="10" width="28.33203125" bestFit="1" customWidth="1"/>
    <col min="11" max="11" width="10.109375" bestFit="1" customWidth="1"/>
    <col min="15" max="15" width="14.6640625" customWidth="1"/>
  </cols>
  <sheetData>
    <row r="2" spans="3:14" x14ac:dyDescent="0.3">
      <c r="L2" s="1"/>
      <c r="M2" s="1"/>
      <c r="N2" s="1"/>
    </row>
    <row r="3" spans="3:14" ht="15.6" x14ac:dyDescent="0.3">
      <c r="I3" s="42" t="s">
        <v>0</v>
      </c>
      <c r="J3" s="45" t="s">
        <v>40</v>
      </c>
      <c r="K3" s="43"/>
    </row>
    <row r="4" spans="3:14" ht="15.6" x14ac:dyDescent="0.3">
      <c r="I4" s="42" t="s">
        <v>1</v>
      </c>
      <c r="J4" s="46">
        <v>46091</v>
      </c>
      <c r="K4" s="44"/>
    </row>
    <row r="6" spans="3:14" x14ac:dyDescent="0.3">
      <c r="C6" s="1"/>
      <c r="D6" s="1"/>
      <c r="E6" s="1"/>
      <c r="F6" s="20"/>
      <c r="G6" s="1"/>
      <c r="K6" s="1"/>
    </row>
    <row r="7" spans="3:14" x14ac:dyDescent="0.3">
      <c r="C7" s="1"/>
      <c r="D7" s="2"/>
      <c r="E7" s="3"/>
      <c r="F7" s="3"/>
      <c r="G7" s="3"/>
      <c r="H7" s="3"/>
      <c r="I7" s="4"/>
      <c r="J7" s="3"/>
    </row>
    <row r="8" spans="3:14" ht="15.6" x14ac:dyDescent="0.3">
      <c r="C8" s="1"/>
      <c r="D8" s="5" t="s">
        <v>2</v>
      </c>
      <c r="E8" s="6" t="s">
        <v>3</v>
      </c>
      <c r="F8" s="6" t="s">
        <v>4</v>
      </c>
      <c r="G8" s="5" t="s">
        <v>5</v>
      </c>
      <c r="H8" s="5" t="s">
        <v>6</v>
      </c>
      <c r="I8" s="7" t="s">
        <v>7</v>
      </c>
      <c r="J8" s="6" t="s">
        <v>32</v>
      </c>
    </row>
    <row r="9" spans="3:14" ht="15.6" x14ac:dyDescent="0.3">
      <c r="C9" s="1"/>
      <c r="D9" s="8">
        <v>1</v>
      </c>
      <c r="E9" s="9" t="s">
        <v>22</v>
      </c>
      <c r="F9" s="9" t="s">
        <v>12</v>
      </c>
      <c r="G9" s="10">
        <v>1</v>
      </c>
      <c r="H9" s="11">
        <v>198</v>
      </c>
      <c r="I9" s="11">
        <f t="shared" ref="I9:I18" si="0">SUM(H9*G9)</f>
        <v>198</v>
      </c>
      <c r="J9" s="28" t="s">
        <v>12</v>
      </c>
    </row>
    <row r="10" spans="3:14" ht="15.6" x14ac:dyDescent="0.3">
      <c r="C10" s="1"/>
      <c r="D10" s="8">
        <v>2</v>
      </c>
      <c r="E10" s="9" t="s">
        <v>23</v>
      </c>
      <c r="F10" s="27" t="s">
        <v>13</v>
      </c>
      <c r="G10" s="10">
        <v>1</v>
      </c>
      <c r="H10" s="11">
        <v>57</v>
      </c>
      <c r="I10" s="11">
        <f t="shared" si="0"/>
        <v>57</v>
      </c>
      <c r="J10" s="28" t="s">
        <v>33</v>
      </c>
    </row>
    <row r="11" spans="3:14" ht="31.2" x14ac:dyDescent="0.3">
      <c r="C11" s="1"/>
      <c r="D11" s="8">
        <v>3</v>
      </c>
      <c r="E11" s="9" t="s">
        <v>24</v>
      </c>
      <c r="F11" s="9" t="s">
        <v>20</v>
      </c>
      <c r="G11" s="10">
        <v>1</v>
      </c>
      <c r="H11" s="11">
        <v>149</v>
      </c>
      <c r="I11" s="11">
        <f t="shared" si="0"/>
        <v>149</v>
      </c>
      <c r="J11" s="28" t="s">
        <v>34</v>
      </c>
    </row>
    <row r="12" spans="3:14" ht="15.6" x14ac:dyDescent="0.3">
      <c r="C12" s="1"/>
      <c r="D12" s="8">
        <v>4</v>
      </c>
      <c r="E12" s="12" t="s">
        <v>25</v>
      </c>
      <c r="F12" s="9" t="s">
        <v>14</v>
      </c>
      <c r="G12" s="10">
        <v>1</v>
      </c>
      <c r="H12" s="11">
        <v>6</v>
      </c>
      <c r="I12" s="11">
        <f t="shared" si="0"/>
        <v>6</v>
      </c>
      <c r="J12" s="29" t="s">
        <v>35</v>
      </c>
    </row>
    <row r="13" spans="3:14" ht="15.6" x14ac:dyDescent="0.3">
      <c r="C13" s="1"/>
      <c r="D13" s="8">
        <v>5</v>
      </c>
      <c r="E13" s="13" t="s">
        <v>26</v>
      </c>
      <c r="F13" s="13" t="s">
        <v>15</v>
      </c>
      <c r="G13" s="10">
        <v>1</v>
      </c>
      <c r="H13" s="11">
        <v>29</v>
      </c>
      <c r="I13" s="11">
        <f t="shared" si="0"/>
        <v>29</v>
      </c>
      <c r="J13" s="31" t="s">
        <v>36</v>
      </c>
    </row>
    <row r="14" spans="3:14" ht="15.6" x14ac:dyDescent="0.3">
      <c r="C14" s="1"/>
      <c r="D14" s="8">
        <v>6</v>
      </c>
      <c r="E14" s="13" t="s">
        <v>27</v>
      </c>
      <c r="F14" s="13" t="s">
        <v>16</v>
      </c>
      <c r="G14" s="10">
        <v>1</v>
      </c>
      <c r="H14" s="11">
        <v>11</v>
      </c>
      <c r="I14" s="11">
        <f t="shared" si="0"/>
        <v>11</v>
      </c>
      <c r="J14" s="31" t="s">
        <v>37</v>
      </c>
      <c r="N14" t="s">
        <v>41</v>
      </c>
    </row>
    <row r="15" spans="3:14" ht="15.6" x14ac:dyDescent="0.3">
      <c r="C15" s="1"/>
      <c r="D15" s="8">
        <v>7</v>
      </c>
      <c r="E15" s="13" t="s">
        <v>28</v>
      </c>
      <c r="F15" s="13" t="s">
        <v>17</v>
      </c>
      <c r="G15" s="10">
        <v>1</v>
      </c>
      <c r="H15" s="11">
        <v>96</v>
      </c>
      <c r="I15" s="11">
        <f t="shared" si="0"/>
        <v>96</v>
      </c>
      <c r="J15" s="31" t="s">
        <v>17</v>
      </c>
    </row>
    <row r="16" spans="3:14" ht="15.6" x14ac:dyDescent="0.3">
      <c r="C16" s="1"/>
      <c r="D16" s="8">
        <v>8</v>
      </c>
      <c r="E16" s="13" t="s">
        <v>29</v>
      </c>
      <c r="F16" s="30" t="s">
        <v>18</v>
      </c>
      <c r="G16" s="10">
        <v>2</v>
      </c>
      <c r="H16" s="11">
        <v>72</v>
      </c>
      <c r="I16" s="11">
        <f t="shared" si="0"/>
        <v>144</v>
      </c>
      <c r="J16" s="31" t="s">
        <v>38</v>
      </c>
    </row>
    <row r="17" spans="3:10" ht="31.2" x14ac:dyDescent="0.3">
      <c r="C17" s="14"/>
      <c r="D17" s="8">
        <v>9</v>
      </c>
      <c r="E17" s="22" t="s">
        <v>30</v>
      </c>
      <c r="F17" s="30" t="s">
        <v>19</v>
      </c>
      <c r="G17" s="10">
        <v>1</v>
      </c>
      <c r="H17" s="11">
        <v>6</v>
      </c>
      <c r="I17" s="11">
        <f t="shared" si="0"/>
        <v>6</v>
      </c>
      <c r="J17" s="32" t="s">
        <v>39</v>
      </c>
    </row>
    <row r="18" spans="3:10" ht="15.6" x14ac:dyDescent="0.3">
      <c r="D18" s="8">
        <v>11</v>
      </c>
      <c r="E18" s="16" t="s">
        <v>8</v>
      </c>
      <c r="F18" s="21" t="s">
        <v>21</v>
      </c>
      <c r="G18" s="8">
        <v>1</v>
      </c>
      <c r="H18" s="15">
        <v>23</v>
      </c>
      <c r="I18" s="11">
        <f t="shared" si="0"/>
        <v>23</v>
      </c>
      <c r="J18" s="33" t="s">
        <v>21</v>
      </c>
    </row>
    <row r="19" spans="3:10" ht="15.6" x14ac:dyDescent="0.3">
      <c r="D19" s="17"/>
      <c r="E19" s="24"/>
      <c r="F19" s="17" t="s">
        <v>9</v>
      </c>
      <c r="G19" s="17"/>
      <c r="H19" s="17"/>
      <c r="I19" s="5"/>
      <c r="J19" s="24"/>
    </row>
    <row r="20" spans="3:10" ht="15.6" x14ac:dyDescent="0.3">
      <c r="D20" s="26">
        <v>12</v>
      </c>
      <c r="E20" s="25"/>
      <c r="F20" s="18" t="s">
        <v>10</v>
      </c>
      <c r="G20" s="18"/>
      <c r="H20" s="10"/>
      <c r="I20" s="11">
        <v>300</v>
      </c>
      <c r="J20" s="34"/>
    </row>
    <row r="21" spans="3:10" ht="15.6" x14ac:dyDescent="0.3">
      <c r="D21" s="23">
        <v>13</v>
      </c>
      <c r="E21" s="25"/>
      <c r="F21" s="18" t="s">
        <v>31</v>
      </c>
      <c r="G21" s="18"/>
      <c r="H21" s="10"/>
      <c r="I21" s="11">
        <v>150</v>
      </c>
      <c r="J21" s="35"/>
    </row>
    <row r="22" spans="3:10" ht="15.6" x14ac:dyDescent="0.3">
      <c r="D22" s="36">
        <v>14</v>
      </c>
      <c r="E22" s="37"/>
      <c r="F22" s="39" t="s">
        <v>11</v>
      </c>
      <c r="G22" s="37"/>
      <c r="H22" s="40"/>
      <c r="I22" s="38">
        <f>SUM(I9:I18,I20:I21)</f>
        <v>1169</v>
      </c>
      <c r="J22" s="41"/>
    </row>
  </sheetData>
  <hyperlinks>
    <hyperlink ref="D8" r:id="rId1" xr:uid="{F0AE76BC-05AC-45A0-A243-7C24314D2A5D}"/>
    <hyperlink ref="J10" r:id="rId2" xr:uid="{287BD01B-CA82-4F02-B286-CC8BFC71E647}"/>
    <hyperlink ref="J9" r:id="rId3" xr:uid="{5CFF8D2E-8044-437E-966C-014E2DBD6BC9}"/>
    <hyperlink ref="J11" r:id="rId4" xr:uid="{F7DE6778-826F-4020-AB33-946E8C63BAAE}"/>
    <hyperlink ref="J12" r:id="rId5" xr:uid="{EC86E2B2-9353-4E61-A171-6774A405F909}"/>
    <hyperlink ref="J13" r:id="rId6" xr:uid="{54EB73DA-857E-4D71-961C-F80FFCCBA520}"/>
    <hyperlink ref="J14" r:id="rId7" xr:uid="{04FB3B67-7A66-4933-8985-1A4809680886}"/>
    <hyperlink ref="J15" r:id="rId8" xr:uid="{14748277-411B-48E1-8040-B60F1D57F79C}"/>
    <hyperlink ref="J16" r:id="rId9" xr:uid="{871932B1-703F-4967-8FC0-AE0270B56464}"/>
    <hyperlink ref="J17" r:id="rId10" xr:uid="{BDD0DCF3-257F-4549-A02D-EB702F6E4A82}"/>
    <hyperlink ref="J18" r:id="rId11" xr:uid="{1B1A12EF-32D0-4DC1-8F06-96870F916CDF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Breathe. You're doing great!</dc:creator>
  <cp:lastModifiedBy>Breathe. You're doing great!</cp:lastModifiedBy>
  <dcterms:created xsi:type="dcterms:W3CDTF">2026-03-10T17:23:39Z</dcterms:created>
  <dcterms:modified xsi:type="dcterms:W3CDTF">2026-03-10T18:15:32Z</dcterms:modified>
</cp:coreProperties>
</file>